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jea\Downloads\"/>
    </mc:Choice>
  </mc:AlternateContent>
  <xr:revisionPtr revIDLastSave="0" documentId="13_ncr:1_{B1304F76-C6EA-42CA-A159-ADF9292408CB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ashboard" sheetId="1" r:id="rId1"/>
    <sheet name="Cost_Model" sheetId="2" r:id="rId2"/>
    <sheet name="Chart_Data" sheetId="3" r:id="rId3"/>
    <sheet name="Partner_Message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A13" i="3"/>
  <c r="A12" i="3"/>
  <c r="A11" i="3"/>
  <c r="A10" i="3"/>
  <c r="A9" i="3"/>
  <c r="A8" i="3"/>
  <c r="B7" i="3"/>
  <c r="A7" i="3"/>
  <c r="C3" i="3"/>
  <c r="C11" i="2"/>
  <c r="B11" i="2"/>
  <c r="E5" i="2" s="1"/>
  <c r="F10" i="2"/>
  <c r="D10" i="2"/>
  <c r="B13" i="3" s="1"/>
  <c r="F9" i="2"/>
  <c r="D9" i="2"/>
  <c r="B12" i="3" s="1"/>
  <c r="F8" i="2"/>
  <c r="E8" i="2"/>
  <c r="D8" i="2"/>
  <c r="B11" i="3" s="1"/>
  <c r="C11" i="3" s="1"/>
  <c r="F7" i="2"/>
  <c r="E7" i="2"/>
  <c r="D7" i="2"/>
  <c r="B10" i="3" s="1"/>
  <c r="C10" i="3" s="1"/>
  <c r="F6" i="2"/>
  <c r="F11" i="2" s="1"/>
  <c r="E6" i="2"/>
  <c r="D6" i="2"/>
  <c r="B9" i="3" s="1"/>
  <c r="F5" i="2"/>
  <c r="D5" i="2"/>
  <c r="B8" i="3" s="1"/>
  <c r="F4" i="2"/>
  <c r="D4" i="2"/>
  <c r="D11" i="2" s="1"/>
  <c r="D3" i="3" s="1"/>
  <c r="C7" i="3" l="1"/>
  <c r="C12" i="3"/>
  <c r="C8" i="3"/>
  <c r="C13" i="3"/>
  <c r="C9" i="3"/>
  <c r="B2" i="3"/>
  <c r="E9" i="2"/>
  <c r="E4" i="2"/>
  <c r="E10" i="2"/>
  <c r="E11" i="2" l="1"/>
</calcChain>
</file>

<file path=xl/sharedStrings.xml><?xml version="1.0" encoding="utf-8"?>
<sst xmlns="http://schemas.openxmlformats.org/spreadsheetml/2006/main" count="95" uniqueCount="88">
  <si>
    <t>Kristal Farms — Partner Cost Advantage</t>
  </si>
  <si>
    <t>Cost index model for partner conversations. Conventional remote compute = 100; Kristal Farms is shown on the same scale with avoided costs as a savings gap.</t>
  </si>
  <si>
    <t>Partner message</t>
  </si>
  <si>
    <t>1</t>
  </si>
  <si>
    <t>Kristal Farms lowers cost by removing infrastructure layers, not only by buying cheaper electricity.</t>
  </si>
  <si>
    <t>2</t>
  </si>
  <si>
    <t>The largest savings come from avoided roads, avoided long transmission, lower cooling burden and heat reuse.</t>
  </si>
  <si>
    <t>3</t>
  </si>
  <si>
    <t>Partners can validate the assumptions and convert this index model into a site-specific financial case.</t>
  </si>
  <si>
    <t>Cost factor</t>
  </si>
  <si>
    <t>Conventional index</t>
  </si>
  <si>
    <t>Kristal Farms index</t>
  </si>
  <si>
    <t>Savings</t>
  </si>
  <si>
    <t>Conventional share</t>
  </si>
  <si>
    <t>Kristal share</t>
  </si>
  <si>
    <t>Partner-facing rationale</t>
  </si>
  <si>
    <t>Energy commodity</t>
  </si>
  <si>
    <t>Low-cost hydro remains the core input; Kristal still pays for energy, but uses it more efficiently.</t>
  </si>
  <si>
    <t>Road / civil access</t>
  </si>
  <si>
    <t>Port-adjacent modular deployment reduces major all-season road requirements.</t>
  </si>
  <si>
    <t>Transmission build</t>
  </si>
  <si>
    <t>Short local MV feed replaces long HV corridors, large substations, rights-of-way and remote build-out.</t>
  </si>
  <si>
    <t>Transmission O&amp;M</t>
  </si>
  <si>
    <t>Shorter electrical infrastructure reduces long-term maintenance exposure.</t>
  </si>
  <si>
    <t>Cooling infrastructure</t>
  </si>
  <si>
    <t>Cold climate, liquid cooling and heat exchange reduce mechanical cooling burden.</t>
  </si>
  <si>
    <t>Heat waste / carbon burden</t>
  </si>
  <si>
    <t>Server heat is reused in buildings, DHW and greenhouse instead of being rejected.</t>
  </si>
  <si>
    <t>Security / access burden</t>
  </si>
  <si>
    <t>Controlled isolated siting reduces access complexity and physical perimeter burden.</t>
  </si>
  <si>
    <t>TOTAL</t>
  </si>
  <si>
    <t>Savings gap = conventional total - Kristal Farms total</t>
  </si>
  <si>
    <t>Scenario</t>
  </si>
  <si>
    <t>Conventional cost</t>
  </si>
  <si>
    <t>Kristal Farms cost</t>
  </si>
  <si>
    <t>Savings gap</t>
  </si>
  <si>
    <t>Conventional remote model</t>
  </si>
  <si>
    <t>Kristal Farms model</t>
  </si>
  <si>
    <t>Savings factor</t>
  </si>
  <si>
    <t>Index points saved</t>
  </si>
  <si>
    <t>Share of savings</t>
  </si>
  <si>
    <t>Conventional</t>
  </si>
  <si>
    <t>Kristal Farms</t>
  </si>
  <si>
    <t>Partner-facing narrative</t>
  </si>
  <si>
    <t>Section</t>
  </si>
  <si>
    <t>Copy</t>
  </si>
  <si>
    <t>Core message</t>
  </si>
  <si>
    <t>Kristal Farms lowers delivered AI compute cost by removing infrastructure that conventional remote compute must still build, cool, maintain, and secure.</t>
  </si>
  <si>
    <t>Why it matters</t>
  </si>
  <si>
    <t>The model combines low-cost hydro, short local power delivery, cold-climate cooling, heat reuse, port logistics, modular deployment, and controlled isolated siting.</t>
  </si>
  <si>
    <t>Partner role</t>
  </si>
  <si>
    <t>Partners can validate the site, lead an eligible consortium, provide engineering/HPC capability, connect community heat users, and support public-interest compute access.</t>
  </si>
  <si>
    <t>Positioning</t>
  </si>
  <si>
    <t>This is not a single data center; it is a replicable northern compute-and-heat infrastructure pattern.</t>
  </si>
  <si>
    <t>Caution</t>
  </si>
  <si>
    <t>The cost index is a presentation tool. Final values require engineering, utility tariffs, site selection, heat demand, fiber design, and partner commitments.</t>
  </si>
  <si>
    <t>Source references and benchmark notes</t>
  </si>
  <si>
    <t>Input / benchmark</t>
  </si>
  <si>
    <t>Use in workbook</t>
  </si>
  <si>
    <t>Source URL</t>
  </si>
  <si>
    <t>Status</t>
  </si>
  <si>
    <t>Kristal Farms internal documentation</t>
  </si>
  <si>
    <t>Short MV feed, no long HV corridor, port logistics, heat-first design, black-box tenancy</t>
  </si>
  <si>
    <t>Provided project documents</t>
  </si>
  <si>
    <t>Internal concept source</t>
  </si>
  <si>
    <t>Hydro-Québec Rate L</t>
  </si>
  <si>
    <t>Low-cost hydro electricity benchmark</t>
  </si>
  <si>
    <t>https://www.hydroquebec.com/data/documents-donnees/pdf/rates-chart.pdf</t>
  </si>
  <si>
    <t>External benchmark</t>
  </si>
  <si>
    <t>Newfoundland &amp; Labrador Hydro rates</t>
  </si>
  <si>
    <t>Labrador Interconnected System electricity benchmark</t>
  </si>
  <si>
    <t>https://nlhydro.com/electicity-rates/current-rates/</t>
  </si>
  <si>
    <t>Uptime Institute 2025 survey</t>
  </si>
  <si>
    <t>Conventional data center PUE benchmark</t>
  </si>
  <si>
    <t>https://datacenter.uptimeinstitute.com/rs/711-RIA-145/images/2025.Annual.Survey.Report.pdf</t>
  </si>
  <si>
    <t>Wataynikaneyap Transmission Project</t>
  </si>
  <si>
    <t>Northern transmission cost scale</t>
  </si>
  <si>
    <t>https://www.torys.com/work/2018/12/wataynikaneyap-transmission-project</t>
  </si>
  <si>
    <t>Northern Policy Institute</t>
  </si>
  <si>
    <t>Northern all-season road cost scale</t>
  </si>
  <si>
    <t>https://www.northernpolicy.ca/upload/documents/publications/reports-new/smart-roads-2022-10-12-ac.pdf</t>
  </si>
  <si>
    <t>Environment and Climate Change Canada</t>
  </si>
  <si>
    <t>Diesel CO₂ factor</t>
  </si>
  <si>
    <t>https://www.canada.ca/en/environment-climate-change/services/climate-change/pricing-pollution-how-it-will-work/output-based-pricing-system/federal-greenhouse-gas-offset-system/emission-factors-reference-values.html</t>
  </si>
  <si>
    <t>Natural Resources Canada</t>
  </si>
  <si>
    <t>Fuel energy content reference</t>
  </si>
  <si>
    <t>https://oee.nrcan.gc.ca/corporate/statistics/neud/dpa/tableshandbook2/egen_00_1_e_2.cfm?attr=0</t>
  </si>
  <si>
    <t xml:space="preserve">Illustrative cost index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</si>
</sst>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1E6864"/>
      <name val="Carlito"/>
    </font>
    <font>
      <i/>
      <sz val="11"/>
      <name val="Carlito"/>
    </font>
    <font>
      <sz val="11"/>
      <color rgb="FFFF0000"/>
      <name val="Carlito"/>
    </font>
    <font>
      <sz val="11"/>
      <color rgb="FF1E686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E6864"/>
      </patternFill>
    </fill>
    <fill>
      <patternFill patternType="solid">
        <fgColor rgb="FFF2F8F7"/>
      </patternFill>
    </fill>
    <fill>
      <patternFill patternType="solid">
        <fgColor rgb="FFFFF8E1"/>
      </patternFill>
    </fill>
    <fill>
      <patternFill patternType="solid">
        <fgColor rgb="FFDCE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vertical="center"/>
    </xf>
    <xf numFmtId="1" fontId="1" fillId="5" borderId="0" xfId="0" applyNumberFormat="1" applyFont="1" applyFill="1" applyAlignment="1">
      <alignment horizontal="center" vertical="center"/>
    </xf>
    <xf numFmtId="9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1" fontId="6" fillId="4" borderId="0" xfId="0" applyNumberFormat="1" applyFont="1" applyFill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6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CA"/>
              <a:t>Same-scale cost gap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Conventional cost</c:v>
          </c:tx>
          <c:spPr>
            <a:solidFill>
              <a:srgbClr val="7A8583"/>
            </a:solidFill>
          </c:spPr>
          <c:invertIfNegative val="1"/>
          <c:cat>
            <c:strRef>
              <c:f>Chart_Data!$A$2:$A$3</c:f>
              <c:strCache>
                <c:ptCount val="2"/>
                <c:pt idx="0">
                  <c:v>Conventional remote model</c:v>
                </c:pt>
                <c:pt idx="1">
                  <c:v>Kristal Farms model</c:v>
                </c:pt>
              </c:strCache>
            </c:strRef>
          </c:cat>
          <c:val>
            <c:numRef>
              <c:f>Chart_Data!$B$2:$B$3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96A-41CE-A41B-14B889B1AD90}"/>
            </c:ext>
          </c:extLst>
        </c:ser>
        <c:ser>
          <c:idx val="1"/>
          <c:order val="1"/>
          <c:tx>
            <c:v>Kristal Farms cost</c:v>
          </c:tx>
          <c:spPr>
            <a:solidFill>
              <a:srgbClr val="1E6864"/>
            </a:solidFill>
          </c:spPr>
          <c:invertIfNegative val="1"/>
          <c:cat>
            <c:strRef>
              <c:f>Chart_Data!$A$2:$A$3</c:f>
              <c:strCache>
                <c:ptCount val="2"/>
                <c:pt idx="0">
                  <c:v>Conventional remote model</c:v>
                </c:pt>
                <c:pt idx="1">
                  <c:v>Kristal Farms model</c:v>
                </c:pt>
              </c:strCache>
            </c:strRef>
          </c:cat>
          <c:val>
            <c:numRef>
              <c:f>Chart_Data!$C$2:$C$3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196A-41CE-A41B-14B889B1AD90}"/>
            </c:ext>
          </c:extLst>
        </c:ser>
        <c:ser>
          <c:idx val="2"/>
          <c:order val="2"/>
          <c:tx>
            <c:v>Savings gap</c:v>
          </c:tx>
          <c:spPr>
            <a:solidFill>
              <a:srgbClr val="E7ECEB"/>
            </a:solidFill>
          </c:spPr>
          <c:invertIfNegative val="1"/>
          <c:cat>
            <c:strRef>
              <c:f>Chart_Data!$A$2:$A$3</c:f>
              <c:strCache>
                <c:ptCount val="2"/>
                <c:pt idx="0">
                  <c:v>Conventional remote model</c:v>
                </c:pt>
                <c:pt idx="1">
                  <c:v>Kristal Farms model</c:v>
                </c:pt>
              </c:strCache>
            </c:strRef>
          </c:cat>
          <c:val>
            <c:numRef>
              <c:f>Chart_Data!$D$2:$D$3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196A-41CE-A41B-14B889B1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1E6864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CA"/>
              <a:t>Where the savings come from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Savings index points</c:v>
          </c:tx>
          <c:spPr>
            <a:solidFill>
              <a:srgbClr val="1E6864"/>
            </a:solidFill>
          </c:spPr>
          <c:invertIfNegative val="1"/>
          <c:cat>
            <c:strRef>
              <c:f>Chart_Data!$A$7:$A$13</c:f>
              <c:strCache>
                <c:ptCount val="7"/>
                <c:pt idx="0">
                  <c:v>Energy commodity</c:v>
                </c:pt>
                <c:pt idx="1">
                  <c:v>Road / civil access</c:v>
                </c:pt>
                <c:pt idx="2">
                  <c:v>Transmission build</c:v>
                </c:pt>
                <c:pt idx="3">
                  <c:v>Transmission O&amp;M</c:v>
                </c:pt>
                <c:pt idx="4">
                  <c:v>Cooling infrastructure</c:v>
                </c:pt>
                <c:pt idx="5">
                  <c:v>Heat waste / carbon burden</c:v>
                </c:pt>
                <c:pt idx="6">
                  <c:v>Security / access burden</c:v>
                </c:pt>
              </c:strCache>
            </c:strRef>
          </c:cat>
          <c:val>
            <c:numRef>
              <c:f>Chart_Data!$B$7:$B$13</c:f>
              <c:numCache>
                <c:formatCode>General</c:formatCode>
                <c:ptCount val="7"/>
                <c:pt idx="0">
                  <c:v>4</c:v>
                </c:pt>
                <c:pt idx="1">
                  <c:v>12</c:v>
                </c:pt>
                <c:pt idx="2">
                  <c:v>18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F50-4A33-965F-8275D9D5D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1E6864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CA"/>
              <a:t>Cost layers reduced by factor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Conventional</c:v>
          </c:tx>
          <c:spPr>
            <a:solidFill>
              <a:srgbClr val="7A8583"/>
            </a:solidFill>
          </c:spPr>
          <c:invertIfNegative val="1"/>
          <c:cat>
            <c:strRef>
              <c:f>Chart_Data!$A$17:$A$23</c:f>
              <c:strCache>
                <c:ptCount val="7"/>
                <c:pt idx="0">
                  <c:v>Energy commodity</c:v>
                </c:pt>
                <c:pt idx="1">
                  <c:v>Road / civil access</c:v>
                </c:pt>
                <c:pt idx="2">
                  <c:v>Transmission build</c:v>
                </c:pt>
                <c:pt idx="3">
                  <c:v>Transmission O&amp;M</c:v>
                </c:pt>
                <c:pt idx="4">
                  <c:v>Cooling infrastructure</c:v>
                </c:pt>
                <c:pt idx="5">
                  <c:v>Heat waste / carbon burden</c:v>
                </c:pt>
                <c:pt idx="6">
                  <c:v>Security / access burden</c:v>
                </c:pt>
              </c:strCache>
            </c:strRef>
          </c:cat>
          <c:val>
            <c:numRef>
              <c:f>Chart_Data!$B$17:$B$23</c:f>
              <c:numCache>
                <c:formatCode>General</c:formatCode>
                <c:ptCount val="7"/>
                <c:pt idx="0">
                  <c:v>22</c:v>
                </c:pt>
                <c:pt idx="1">
                  <c:v>15</c:v>
                </c:pt>
                <c:pt idx="2">
                  <c:v>22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57B-4689-9B6C-3653A0902B3E}"/>
            </c:ext>
          </c:extLst>
        </c:ser>
        <c:ser>
          <c:idx val="1"/>
          <c:order val="1"/>
          <c:tx>
            <c:v>Kristal Farms</c:v>
          </c:tx>
          <c:spPr>
            <a:solidFill>
              <a:srgbClr val="1E6864"/>
            </a:solidFill>
          </c:spPr>
          <c:invertIfNegative val="1"/>
          <c:cat>
            <c:strRef>
              <c:f>Chart_Data!$A$17:$A$23</c:f>
              <c:strCache>
                <c:ptCount val="7"/>
                <c:pt idx="0">
                  <c:v>Energy commodity</c:v>
                </c:pt>
                <c:pt idx="1">
                  <c:v>Road / civil access</c:v>
                </c:pt>
                <c:pt idx="2">
                  <c:v>Transmission build</c:v>
                </c:pt>
                <c:pt idx="3">
                  <c:v>Transmission O&amp;M</c:v>
                </c:pt>
                <c:pt idx="4">
                  <c:v>Cooling infrastructure</c:v>
                </c:pt>
                <c:pt idx="5">
                  <c:v>Heat waste / carbon burden</c:v>
                </c:pt>
                <c:pt idx="6">
                  <c:v>Security / access burden</c:v>
                </c:pt>
              </c:strCache>
            </c:strRef>
          </c:cat>
          <c:val>
            <c:numRef>
              <c:f>Chart_Data!$C$17:$C$23</c:f>
              <c:numCache>
                <c:formatCode>General</c:formatCode>
                <c:ptCount val="7"/>
                <c:pt idx="0">
                  <c:v>18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57B-4689-9B6C-3653A0902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1E6864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</xdr:rowOff>
    </xdr:from>
    <xdr:ext cx="8070273" cy="1951182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44</xdr:row>
      <xdr:rowOff>23090</xdr:rowOff>
    </xdr:from>
    <xdr:ext cx="809625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7880</xdr:colOff>
      <xdr:row>20</xdr:row>
      <xdr:rowOff>136644</xdr:rowOff>
    </xdr:from>
    <xdr:ext cx="8075670" cy="399663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E67" zoomScale="55" zoomScaleNormal="55" workbookViewId="0">
      <selection activeCell="BN129" sqref="BN129"/>
    </sheetView>
  </sheetViews>
  <sheetFormatPr defaultRowHeight="14"/>
  <cols>
    <col min="1" max="1" width="22" customWidth="1"/>
    <col min="2" max="2" width="55" customWidth="1"/>
    <col min="3" max="10" width="12" customWidth="1"/>
  </cols>
  <sheetData>
    <row r="1" spans="1:10" ht="2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8.5" customHeight="1">
      <c r="A2" s="7" t="s">
        <v>1</v>
      </c>
      <c r="B2" s="7"/>
      <c r="C2" s="7"/>
      <c r="D2" s="3"/>
      <c r="E2" s="3"/>
      <c r="F2" s="3"/>
      <c r="G2" s="3"/>
      <c r="H2" s="3"/>
      <c r="I2" s="3"/>
      <c r="J2" s="3"/>
    </row>
    <row r="4" spans="1:10">
      <c r="A4" s="1" t="s">
        <v>2</v>
      </c>
      <c r="B4" s="1"/>
    </row>
    <row r="5" spans="1:10" ht="45" customHeight="1">
      <c r="A5" s="8" t="s">
        <v>3</v>
      </c>
      <c r="B5" s="9" t="s">
        <v>4</v>
      </c>
    </row>
    <row r="6" spans="1:10" ht="45" customHeight="1">
      <c r="A6" s="8" t="s">
        <v>5</v>
      </c>
      <c r="B6" s="9" t="s">
        <v>6</v>
      </c>
    </row>
    <row r="7" spans="1:10" ht="45" customHeight="1">
      <c r="A7" s="8" t="s">
        <v>7</v>
      </c>
      <c r="B7" s="9" t="s">
        <v>8</v>
      </c>
    </row>
    <row r="48" spans="1:10" ht="14.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4.5">
      <c r="A49" s="5"/>
      <c r="B49" s="5"/>
      <c r="C49" s="5"/>
      <c r="D49" s="5"/>
      <c r="E49" s="5"/>
      <c r="F49" s="5"/>
      <c r="G49" s="5"/>
      <c r="H49" s="5"/>
      <c r="I49" s="5"/>
      <c r="J49" s="5"/>
    </row>
  </sheetData>
  <mergeCells count="1"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selection activeCell="C18" sqref="C18"/>
    </sheetView>
  </sheetViews>
  <sheetFormatPr defaultRowHeight="14"/>
  <cols>
    <col min="1" max="1" width="24" customWidth="1"/>
    <col min="2" max="6" width="15" customWidth="1"/>
    <col min="7" max="7" width="62" customWidth="1"/>
  </cols>
  <sheetData>
    <row r="1" spans="1:7">
      <c r="A1" s="1" t="s">
        <v>87</v>
      </c>
      <c r="B1" s="1"/>
      <c r="C1" s="1"/>
      <c r="D1" s="1"/>
      <c r="E1" s="1"/>
      <c r="F1" s="1"/>
      <c r="G1" s="1"/>
    </row>
    <row r="3" spans="1:7" s="9" customFormat="1" ht="36" customHeight="1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1" t="s">
        <v>15</v>
      </c>
    </row>
    <row r="4" spans="1:7" s="13" customFormat="1" ht="28">
      <c r="A4" s="13" t="s">
        <v>16</v>
      </c>
      <c r="B4" s="20">
        <v>22</v>
      </c>
      <c r="C4" s="21">
        <v>18</v>
      </c>
      <c r="D4" s="14">
        <f t="shared" ref="D4:D10" si="0">B4-C4</f>
        <v>4</v>
      </c>
      <c r="E4" s="15">
        <f t="shared" ref="E4:E10" si="1">B4/$B$11</f>
        <v>0.22</v>
      </c>
      <c r="F4" s="15">
        <f t="shared" ref="F4:F10" si="2">C4/$C$11</f>
        <v>0.45</v>
      </c>
      <c r="G4" s="9" t="s">
        <v>17</v>
      </c>
    </row>
    <row r="5" spans="1:7" s="13" customFormat="1" ht="28">
      <c r="A5" s="13" t="s">
        <v>18</v>
      </c>
      <c r="B5" s="20">
        <v>15</v>
      </c>
      <c r="C5" s="21">
        <v>3</v>
      </c>
      <c r="D5" s="14">
        <f t="shared" si="0"/>
        <v>12</v>
      </c>
      <c r="E5" s="15">
        <f t="shared" si="1"/>
        <v>0.15</v>
      </c>
      <c r="F5" s="15">
        <f t="shared" si="2"/>
        <v>7.4999999999999997E-2</v>
      </c>
      <c r="G5" s="9" t="s">
        <v>19</v>
      </c>
    </row>
    <row r="6" spans="1:7" s="13" customFormat="1" ht="28">
      <c r="A6" s="13" t="s">
        <v>20</v>
      </c>
      <c r="B6" s="20">
        <v>22</v>
      </c>
      <c r="C6" s="21">
        <v>4</v>
      </c>
      <c r="D6" s="14">
        <f t="shared" si="0"/>
        <v>18</v>
      </c>
      <c r="E6" s="15">
        <f t="shared" si="1"/>
        <v>0.22</v>
      </c>
      <c r="F6" s="15">
        <f t="shared" si="2"/>
        <v>0.1</v>
      </c>
      <c r="G6" s="9" t="s">
        <v>21</v>
      </c>
    </row>
    <row r="7" spans="1:7" s="13" customFormat="1">
      <c r="A7" s="13" t="s">
        <v>22</v>
      </c>
      <c r="B7" s="20">
        <v>9</v>
      </c>
      <c r="C7" s="21">
        <v>2</v>
      </c>
      <c r="D7" s="14">
        <f t="shared" si="0"/>
        <v>7</v>
      </c>
      <c r="E7" s="15">
        <f t="shared" si="1"/>
        <v>0.09</v>
      </c>
      <c r="F7" s="15">
        <f t="shared" si="2"/>
        <v>0.05</v>
      </c>
      <c r="G7" s="9" t="s">
        <v>23</v>
      </c>
    </row>
    <row r="8" spans="1:7" s="13" customFormat="1" ht="28">
      <c r="A8" s="13" t="s">
        <v>24</v>
      </c>
      <c r="B8" s="20">
        <v>14</v>
      </c>
      <c r="C8" s="21">
        <v>6</v>
      </c>
      <c r="D8" s="14">
        <f t="shared" si="0"/>
        <v>8</v>
      </c>
      <c r="E8" s="15">
        <f t="shared" si="1"/>
        <v>0.14000000000000001</v>
      </c>
      <c r="F8" s="15">
        <f t="shared" si="2"/>
        <v>0.15</v>
      </c>
      <c r="G8" s="9" t="s">
        <v>25</v>
      </c>
    </row>
    <row r="9" spans="1:7" s="13" customFormat="1" ht="28">
      <c r="A9" s="13" t="s">
        <v>26</v>
      </c>
      <c r="B9" s="20">
        <v>10</v>
      </c>
      <c r="C9" s="21">
        <v>3</v>
      </c>
      <c r="D9" s="14">
        <f t="shared" si="0"/>
        <v>7</v>
      </c>
      <c r="E9" s="15">
        <f t="shared" si="1"/>
        <v>0.1</v>
      </c>
      <c r="F9" s="15">
        <f t="shared" si="2"/>
        <v>7.4999999999999997E-2</v>
      </c>
      <c r="G9" s="9" t="s">
        <v>27</v>
      </c>
    </row>
    <row r="10" spans="1:7" s="13" customFormat="1" ht="28">
      <c r="A10" s="13" t="s">
        <v>28</v>
      </c>
      <c r="B10" s="20">
        <v>8</v>
      </c>
      <c r="C10" s="21">
        <v>4</v>
      </c>
      <c r="D10" s="14">
        <f t="shared" si="0"/>
        <v>4</v>
      </c>
      <c r="E10" s="15">
        <f t="shared" si="1"/>
        <v>0.08</v>
      </c>
      <c r="F10" s="15">
        <f t="shared" si="2"/>
        <v>0.1</v>
      </c>
      <c r="G10" s="9" t="s">
        <v>29</v>
      </c>
    </row>
    <row r="11" spans="1:7" s="13" customFormat="1">
      <c r="A11" s="16" t="s">
        <v>30</v>
      </c>
      <c r="B11" s="17">
        <f>SUM(B4:B10)</f>
        <v>100</v>
      </c>
      <c r="C11" s="17">
        <f>SUM(C4:C10)</f>
        <v>40</v>
      </c>
      <c r="D11" s="17">
        <f>SUM(D4:D10)</f>
        <v>60</v>
      </c>
      <c r="E11" s="18">
        <f>SUM(E4:E10)</f>
        <v>0.99999999999999989</v>
      </c>
      <c r="F11" s="18">
        <f>SUM(F4:F10)</f>
        <v>1</v>
      </c>
      <c r="G11" s="19" t="s">
        <v>31</v>
      </c>
    </row>
    <row r="12" spans="1:7">
      <c r="B12" s="10"/>
      <c r="C12" s="10"/>
      <c r="D12" s="10"/>
      <c r="E12" s="10"/>
      <c r="F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C29" sqref="C29"/>
    </sheetView>
  </sheetViews>
  <sheetFormatPr defaultRowHeight="14"/>
  <cols>
    <col min="1" max="1" width="23" bestFit="1" customWidth="1"/>
    <col min="2" max="2" width="15.75" bestFit="1" customWidth="1"/>
    <col min="3" max="3" width="15.33203125" bestFit="1" customWidth="1"/>
    <col min="4" max="4" width="10.6640625" bestFit="1" customWidth="1"/>
  </cols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 t="s">
        <v>36</v>
      </c>
      <c r="B2">
        <f>Cost_Model!B11</f>
        <v>100</v>
      </c>
      <c r="C2">
        <v>0</v>
      </c>
      <c r="D2">
        <v>0</v>
      </c>
    </row>
    <row r="3" spans="1:4">
      <c r="A3" t="s">
        <v>37</v>
      </c>
      <c r="B3">
        <v>0</v>
      </c>
      <c r="C3">
        <f>Cost_Model!C11</f>
        <v>40</v>
      </c>
      <c r="D3">
        <f>Cost_Model!D11</f>
        <v>60</v>
      </c>
    </row>
    <row r="6" spans="1:4">
      <c r="A6" t="s">
        <v>38</v>
      </c>
      <c r="B6" t="s">
        <v>39</v>
      </c>
      <c r="C6" t="s">
        <v>40</v>
      </c>
    </row>
    <row r="7" spans="1:4">
      <c r="A7" t="str">
        <f>Cost_Model!A4</f>
        <v>Energy commodity</v>
      </c>
      <c r="B7">
        <f>Cost_Model!D4</f>
        <v>4</v>
      </c>
      <c r="C7">
        <f>B7/Cost_Model!$D$11</f>
        <v>6.6666666666666666E-2</v>
      </c>
    </row>
    <row r="8" spans="1:4">
      <c r="A8" t="str">
        <f>Cost_Model!A5</f>
        <v>Road / civil access</v>
      </c>
      <c r="B8">
        <f>Cost_Model!D5</f>
        <v>12</v>
      </c>
      <c r="C8">
        <f>B8/Cost_Model!$D$11</f>
        <v>0.2</v>
      </c>
    </row>
    <row r="9" spans="1:4">
      <c r="A9" t="str">
        <f>Cost_Model!A6</f>
        <v>Transmission build</v>
      </c>
      <c r="B9">
        <f>Cost_Model!D6</f>
        <v>18</v>
      </c>
      <c r="C9">
        <f>B9/Cost_Model!$D$11</f>
        <v>0.3</v>
      </c>
    </row>
    <row r="10" spans="1:4">
      <c r="A10" t="str">
        <f>Cost_Model!A7</f>
        <v>Transmission O&amp;M</v>
      </c>
      <c r="B10">
        <f>Cost_Model!D7</f>
        <v>7</v>
      </c>
      <c r="C10">
        <f>B10/Cost_Model!$D$11</f>
        <v>0.11666666666666667</v>
      </c>
    </row>
    <row r="11" spans="1:4">
      <c r="A11" t="str">
        <f>Cost_Model!A8</f>
        <v>Cooling infrastructure</v>
      </c>
      <c r="B11">
        <f>Cost_Model!D8</f>
        <v>8</v>
      </c>
      <c r="C11">
        <f>B11/Cost_Model!$D$11</f>
        <v>0.13333333333333333</v>
      </c>
    </row>
    <row r="12" spans="1:4">
      <c r="A12" t="str">
        <f>Cost_Model!A9</f>
        <v>Heat waste / carbon burden</v>
      </c>
      <c r="B12">
        <f>Cost_Model!D9</f>
        <v>7</v>
      </c>
      <c r="C12">
        <f>B12/Cost_Model!$D$11</f>
        <v>0.11666666666666667</v>
      </c>
    </row>
    <row r="13" spans="1:4">
      <c r="A13" t="str">
        <f>Cost_Model!A10</f>
        <v>Security / access burden</v>
      </c>
      <c r="B13">
        <f>Cost_Model!D10</f>
        <v>4</v>
      </c>
      <c r="C13">
        <f>B13/Cost_Model!$D$11</f>
        <v>6.6666666666666666E-2</v>
      </c>
    </row>
    <row r="16" spans="1:4">
      <c r="A16" t="s">
        <v>9</v>
      </c>
      <c r="B16" t="s">
        <v>41</v>
      </c>
      <c r="C16" t="s">
        <v>42</v>
      </c>
    </row>
    <row r="17" spans="1:3">
      <c r="A17" t="str">
        <f>Cost_Model!A4</f>
        <v>Energy commodity</v>
      </c>
      <c r="B17">
        <f>Cost_Model!B4</f>
        <v>22</v>
      </c>
      <c r="C17">
        <f>Cost_Model!C4</f>
        <v>18</v>
      </c>
    </row>
    <row r="18" spans="1:3">
      <c r="A18" t="str">
        <f>Cost_Model!A5</f>
        <v>Road / civil access</v>
      </c>
      <c r="B18">
        <f>Cost_Model!B5</f>
        <v>15</v>
      </c>
      <c r="C18">
        <f>Cost_Model!C5</f>
        <v>3</v>
      </c>
    </row>
    <row r="19" spans="1:3">
      <c r="A19" t="str">
        <f>Cost_Model!A6</f>
        <v>Transmission build</v>
      </c>
      <c r="B19">
        <f>Cost_Model!B6</f>
        <v>22</v>
      </c>
      <c r="C19">
        <f>Cost_Model!C6</f>
        <v>4</v>
      </c>
    </row>
    <row r="20" spans="1:3">
      <c r="A20" t="str">
        <f>Cost_Model!A7</f>
        <v>Transmission O&amp;M</v>
      </c>
      <c r="B20">
        <f>Cost_Model!B7</f>
        <v>9</v>
      </c>
      <c r="C20">
        <f>Cost_Model!C7</f>
        <v>2</v>
      </c>
    </row>
    <row r="21" spans="1:3">
      <c r="A21" t="str">
        <f>Cost_Model!A8</f>
        <v>Cooling infrastructure</v>
      </c>
      <c r="B21">
        <f>Cost_Model!B8</f>
        <v>14</v>
      </c>
      <c r="C21">
        <f>Cost_Model!C8</f>
        <v>6</v>
      </c>
    </row>
    <row r="22" spans="1:3">
      <c r="A22" t="str">
        <f>Cost_Model!A9</f>
        <v>Heat waste / carbon burden</v>
      </c>
      <c r="B22">
        <f>Cost_Model!B9</f>
        <v>10</v>
      </c>
      <c r="C22">
        <f>Cost_Model!C9</f>
        <v>3</v>
      </c>
    </row>
    <row r="23" spans="1:3">
      <c r="A23" t="str">
        <f>Cost_Model!A10</f>
        <v>Security / access burden</v>
      </c>
      <c r="B23">
        <f>Cost_Model!B10</f>
        <v>8</v>
      </c>
      <c r="C23">
        <f>Cost_Model!C10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"/>
  <cols>
    <col min="1" max="1" width="22" customWidth="1"/>
    <col min="2" max="2" width="95" customWidth="1"/>
  </cols>
  <sheetData>
    <row r="1" spans="1:2">
      <c r="A1" s="1" t="s">
        <v>43</v>
      </c>
      <c r="B1" s="1"/>
    </row>
    <row r="3" spans="1:2">
      <c r="A3" s="1" t="s">
        <v>44</v>
      </c>
      <c r="B3" s="1" t="s">
        <v>45</v>
      </c>
    </row>
    <row r="4" spans="1:2" ht="28">
      <c r="A4" t="s">
        <v>46</v>
      </c>
      <c r="B4" s="4" t="s">
        <v>47</v>
      </c>
    </row>
    <row r="5" spans="1:2" ht="28">
      <c r="A5" t="s">
        <v>48</v>
      </c>
      <c r="B5" s="4" t="s">
        <v>49</v>
      </c>
    </row>
    <row r="6" spans="1:2" ht="28">
      <c r="A6" t="s">
        <v>50</v>
      </c>
      <c r="B6" s="4" t="s">
        <v>51</v>
      </c>
    </row>
    <row r="7" spans="1:2">
      <c r="A7" t="s">
        <v>52</v>
      </c>
      <c r="B7" s="4" t="s">
        <v>53</v>
      </c>
    </row>
    <row r="8" spans="1:2" ht="28">
      <c r="A8" t="s">
        <v>54</v>
      </c>
      <c r="B8" s="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C26" sqref="C26"/>
    </sheetView>
  </sheetViews>
  <sheetFormatPr defaultRowHeight="14"/>
  <cols>
    <col min="1" max="1" width="34.6640625" bestFit="1" customWidth="1"/>
    <col min="2" max="2" width="70.58203125" bestFit="1" customWidth="1"/>
    <col min="3" max="3" width="84" customWidth="1"/>
    <col min="4" max="4" width="22" customWidth="1"/>
  </cols>
  <sheetData>
    <row r="1" spans="1:4" ht="28">
      <c r="A1" s="6" t="s">
        <v>56</v>
      </c>
      <c r="B1" s="6"/>
      <c r="C1" s="6"/>
      <c r="D1" s="6"/>
    </row>
    <row r="3" spans="1:4">
      <c r="A3" s="1" t="s">
        <v>57</v>
      </c>
      <c r="B3" s="1" t="s">
        <v>58</v>
      </c>
      <c r="C3" s="1" t="s">
        <v>59</v>
      </c>
      <c r="D3" s="1" t="s">
        <v>60</v>
      </c>
    </row>
    <row r="4" spans="1:4">
      <c r="A4" t="s">
        <v>61</v>
      </c>
      <c r="B4" t="s">
        <v>62</v>
      </c>
      <c r="C4" t="s">
        <v>63</v>
      </c>
      <c r="D4" t="s">
        <v>64</v>
      </c>
    </row>
    <row r="5" spans="1:4">
      <c r="A5" t="s">
        <v>65</v>
      </c>
      <c r="B5" t="s">
        <v>66</v>
      </c>
      <c r="C5" t="s">
        <v>67</v>
      </c>
      <c r="D5" t="s">
        <v>68</v>
      </c>
    </row>
    <row r="6" spans="1:4">
      <c r="A6" t="s">
        <v>69</v>
      </c>
      <c r="B6" t="s">
        <v>70</v>
      </c>
      <c r="C6" t="s">
        <v>71</v>
      </c>
      <c r="D6" t="s">
        <v>68</v>
      </c>
    </row>
    <row r="7" spans="1:4">
      <c r="A7" t="s">
        <v>72</v>
      </c>
      <c r="B7" t="s">
        <v>73</v>
      </c>
      <c r="C7" t="s">
        <v>74</v>
      </c>
      <c r="D7" t="s">
        <v>68</v>
      </c>
    </row>
    <row r="8" spans="1:4">
      <c r="A8" t="s">
        <v>75</v>
      </c>
      <c r="B8" t="s">
        <v>76</v>
      </c>
      <c r="C8" t="s">
        <v>77</v>
      </c>
      <c r="D8" t="s">
        <v>68</v>
      </c>
    </row>
    <row r="9" spans="1:4">
      <c r="A9" t="s">
        <v>78</v>
      </c>
      <c r="B9" t="s">
        <v>79</v>
      </c>
      <c r="C9" t="s">
        <v>80</v>
      </c>
      <c r="D9" t="s">
        <v>68</v>
      </c>
    </row>
    <row r="10" spans="1:4">
      <c r="A10" t="s">
        <v>81</v>
      </c>
      <c r="B10" t="s">
        <v>82</v>
      </c>
      <c r="C10" t="s">
        <v>83</v>
      </c>
      <c r="D10" t="s">
        <v>68</v>
      </c>
    </row>
    <row r="11" spans="1:4">
      <c r="A11" t="s">
        <v>84</v>
      </c>
      <c r="B11" t="s">
        <v>85</v>
      </c>
      <c r="C11" t="s">
        <v>86</v>
      </c>
      <c r="D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Cost_Model</vt:lpstr>
      <vt:lpstr>Chart_Data</vt:lpstr>
      <vt:lpstr>Partner_Message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Francois Jourdain</cp:lastModifiedBy>
  <dcterms:modified xsi:type="dcterms:W3CDTF">2026-05-02T16:48:00Z</dcterms:modified>
</cp:coreProperties>
</file>